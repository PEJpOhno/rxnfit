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t_oh\DataScience\rxnfit\examples\sample_data\ref6\"/>
    </mc:Choice>
  </mc:AlternateContent>
  <xr:revisionPtr revIDLastSave="0" documentId="13_ncr:1_{B4CBEFC0-F6CD-456E-9604-8B2F2336E438}" xr6:coauthVersionLast="47" xr6:coauthVersionMax="47" xr10:uidLastSave="{00000000-0000-0000-0000-000000000000}"/>
  <bookViews>
    <workbookView xWindow="-108" yWindow="-108" windowWidth="23256" windowHeight="13896" xr2:uid="{0E1539FD-C77D-41D1-B5B0-DBFB2F7E988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D2" i="1"/>
  <c r="E9" i="1"/>
  <c r="E8" i="1"/>
  <c r="E7" i="1"/>
  <c r="E3" i="1"/>
  <c r="D24" i="1"/>
  <c r="D23" i="1"/>
  <c r="D18" i="1"/>
  <c r="D17" i="1"/>
  <c r="D12" i="1"/>
  <c r="D11" i="1"/>
  <c r="D6" i="1"/>
  <c r="D5" i="1"/>
  <c r="K9" i="1"/>
  <c r="E24" i="1" s="1"/>
  <c r="J9" i="1"/>
  <c r="D22" i="1" s="1"/>
  <c r="E13" i="1" l="1"/>
  <c r="E14" i="1"/>
  <c r="E15" i="1"/>
  <c r="E16" i="1"/>
  <c r="E17" i="1"/>
  <c r="D13" i="1"/>
  <c r="D14" i="1"/>
  <c r="E4" i="1"/>
  <c r="D3" i="1"/>
  <c r="D15" i="1"/>
  <c r="E5" i="1"/>
  <c r="D4" i="1"/>
  <c r="D16" i="1"/>
  <c r="E6" i="1"/>
  <c r="E18" i="1"/>
  <c r="E19" i="1"/>
  <c r="E20" i="1"/>
  <c r="D7" i="1"/>
  <c r="D19" i="1"/>
  <c r="E21" i="1"/>
  <c r="E22" i="1"/>
  <c r="E23" i="1"/>
  <c r="D8" i="1"/>
  <c r="D20" i="1"/>
  <c r="E10" i="1"/>
  <c r="D9" i="1"/>
  <c r="D21" i="1"/>
  <c r="E11" i="1"/>
  <c r="D10" i="1"/>
  <c r="E12" i="1"/>
</calcChain>
</file>

<file path=xl/sharedStrings.xml><?xml version="1.0" encoding="utf-8"?>
<sst xmlns="http://schemas.openxmlformats.org/spreadsheetml/2006/main" count="20" uniqueCount="20">
  <si>
    <t>min</t>
    <phoneticPr fontId="1"/>
  </si>
  <si>
    <t>conv</t>
    <phoneticPr fontId="1"/>
  </si>
  <si>
    <t>DPn</t>
    <phoneticPr fontId="1"/>
  </si>
  <si>
    <t>https://doi.org/10.1021/ja01267a030</t>
    <phoneticPr fontId="1"/>
  </si>
  <si>
    <t>Paul J. Flory</t>
  </si>
  <si>
    <t>Journal of the American Chemical Society 1939 61 (12), 3334-3340</t>
  </si>
  <si>
    <t>DOI: 10.1021/ja01267a030</t>
  </si>
  <si>
    <t>Kinetics of Polyesterification: A Study of the Effects of Molecular Weight and Viscosity on Reaction Rate</t>
    <phoneticPr fontId="1"/>
  </si>
  <si>
    <t>diethylene glycol</t>
    <phoneticPr fontId="1"/>
  </si>
  <si>
    <t>adipic acid</t>
    <phoneticPr fontId="1"/>
  </si>
  <si>
    <t>MW</t>
    <phoneticPr fontId="1"/>
  </si>
  <si>
    <t>CRU</t>
    <phoneticPr fontId="1"/>
  </si>
  <si>
    <t>mol/1000g</t>
    <phoneticPr fontId="1"/>
  </si>
  <si>
    <t>CRU MWはモノマーの和から縮合した水と末端Hを除いた</t>
    <rPh sb="12" eb="13">
      <t>ワ</t>
    </rPh>
    <rPh sb="15" eb="17">
      <t>シュクゴウ</t>
    </rPh>
    <rPh sb="19" eb="20">
      <t>ミズ</t>
    </rPh>
    <rPh sb="21" eb="23">
      <t>マッタン</t>
    </rPh>
    <rPh sb="25" eb="26">
      <t>ノゾ</t>
    </rPh>
    <phoneticPr fontId="1"/>
  </si>
  <si>
    <t>Table I</t>
    <phoneticPr fontId="1"/>
  </si>
  <si>
    <t>diol</t>
    <phoneticPr fontId="1"/>
  </si>
  <si>
    <t>diacid</t>
    <phoneticPr fontId="1"/>
  </si>
  <si>
    <t>polyest</t>
    <phoneticPr fontId="1"/>
  </si>
  <si>
    <t>H2O</t>
    <phoneticPr fontId="1"/>
  </si>
  <si>
    <t>無溶媒等物質量混合物1000g中の物質量</t>
    <rPh sb="0" eb="1">
      <t>ム</t>
    </rPh>
    <rPh sb="1" eb="3">
      <t>ヨウバイ</t>
    </rPh>
    <rPh sb="3" eb="4">
      <t>トウ</t>
    </rPh>
    <rPh sb="4" eb="6">
      <t>ブッシツ</t>
    </rPh>
    <rPh sb="6" eb="7">
      <t>リョウ</t>
    </rPh>
    <rPh sb="7" eb="10">
      <t>コンゴウブツ</t>
    </rPh>
    <rPh sb="15" eb="16">
      <t>チュウ</t>
    </rPh>
    <rPh sb="17" eb="19">
      <t>ブッシツ</t>
    </rPh>
    <rPh sb="19" eb="20">
      <t>リョウ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</si>
</sst>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2" fillId="0" borderId="0" xfId="1">
      <alignment vertical="center"/>
    </xf>
    <xf numFmtId="2" fontId="0" fillId="0" borderId="0" xfId="0" applyNumberFormat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oi.org/10.1021/ja01267a03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8E1FF-6AAD-4C3E-B380-DA82EB820F5D}">
  <dimension ref="A1:M24"/>
  <sheetViews>
    <sheetView tabSelected="1" workbookViewId="0"/>
  </sheetViews>
  <sheetFormatPr defaultRowHeight="18" x14ac:dyDescent="0.45"/>
  <sheetData>
    <row r="1" spans="1:13" x14ac:dyDescent="0.45">
      <c r="A1" t="s">
        <v>0</v>
      </c>
      <c r="B1" t="s">
        <v>1</v>
      </c>
      <c r="C1" t="s">
        <v>2</v>
      </c>
      <c r="D1" t="s">
        <v>15</v>
      </c>
      <c r="E1" t="s">
        <v>16</v>
      </c>
      <c r="F1" t="s">
        <v>17</v>
      </c>
      <c r="G1" t="s">
        <v>18</v>
      </c>
      <c r="I1" t="s">
        <v>7</v>
      </c>
    </row>
    <row r="2" spans="1:13" x14ac:dyDescent="0.45">
      <c r="A2">
        <v>0</v>
      </c>
      <c r="B2">
        <v>0</v>
      </c>
      <c r="C2">
        <v>0</v>
      </c>
      <c r="D2">
        <f>$J$9*(1-B2)</f>
        <v>3.9641639578212957</v>
      </c>
      <c r="E2">
        <f>$K$9*(1-B2)</f>
        <v>3.9641639578212957</v>
      </c>
      <c r="I2" t="s">
        <v>4</v>
      </c>
    </row>
    <row r="3" spans="1:13" x14ac:dyDescent="0.45">
      <c r="A3">
        <v>6</v>
      </c>
      <c r="B3">
        <v>0.13789999999999999</v>
      </c>
      <c r="C3">
        <v>1.1599999999999999</v>
      </c>
      <c r="D3">
        <f>$J$9*(1-B3)</f>
        <v>3.4175057480377391</v>
      </c>
      <c r="E3">
        <f>$K$9*(1-B3)</f>
        <v>3.4175057480377391</v>
      </c>
      <c r="I3" t="s">
        <v>5</v>
      </c>
    </row>
    <row r="4" spans="1:13" x14ac:dyDescent="0.45">
      <c r="A4">
        <v>12</v>
      </c>
      <c r="B4">
        <v>0.247</v>
      </c>
      <c r="C4">
        <v>1.3280000000000001</v>
      </c>
      <c r="D4">
        <f t="shared" ref="D4:D24" si="0">$J$9*(1-B4)</f>
        <v>2.9850154602394356</v>
      </c>
      <c r="E4">
        <f t="shared" ref="E4:E24" si="1">$K$9*(1-B4)</f>
        <v>2.9850154602394356</v>
      </c>
      <c r="I4" t="s">
        <v>6</v>
      </c>
    </row>
    <row r="5" spans="1:13" x14ac:dyDescent="0.45">
      <c r="A5">
        <v>23</v>
      </c>
      <c r="B5">
        <v>0.36749999999999999</v>
      </c>
      <c r="C5">
        <v>1.581</v>
      </c>
      <c r="D5">
        <f t="shared" si="0"/>
        <v>2.5073337033219696</v>
      </c>
      <c r="E5">
        <f t="shared" si="1"/>
        <v>2.5073337033219696</v>
      </c>
      <c r="I5" s="1" t="s">
        <v>3</v>
      </c>
    </row>
    <row r="6" spans="1:13" x14ac:dyDescent="0.45">
      <c r="A6">
        <v>37</v>
      </c>
      <c r="B6">
        <v>0.4975</v>
      </c>
      <c r="C6">
        <v>1.9990000000000001</v>
      </c>
      <c r="D6">
        <f t="shared" si="0"/>
        <v>1.9919923888052009</v>
      </c>
      <c r="E6">
        <f t="shared" si="1"/>
        <v>1.9919923888052009</v>
      </c>
      <c r="I6" t="s">
        <v>14</v>
      </c>
    </row>
    <row r="7" spans="1:13" x14ac:dyDescent="0.45">
      <c r="A7">
        <v>59</v>
      </c>
      <c r="B7">
        <v>0.60799999999999998</v>
      </c>
      <c r="C7">
        <v>2.5499999999999998</v>
      </c>
      <c r="D7">
        <f t="shared" si="0"/>
        <v>1.5539522714659479</v>
      </c>
      <c r="E7">
        <f t="shared" si="1"/>
        <v>1.5539522714659479</v>
      </c>
      <c r="J7" t="s">
        <v>8</v>
      </c>
      <c r="K7" t="s">
        <v>9</v>
      </c>
      <c r="L7" t="s">
        <v>11</v>
      </c>
    </row>
    <row r="8" spans="1:13" x14ac:dyDescent="0.45">
      <c r="A8">
        <v>88</v>
      </c>
      <c r="B8">
        <v>0.6865</v>
      </c>
      <c r="C8">
        <v>3.19</v>
      </c>
      <c r="D8">
        <f t="shared" si="0"/>
        <v>1.2427654007769762</v>
      </c>
      <c r="E8">
        <f t="shared" si="1"/>
        <v>1.2427654007769762</v>
      </c>
      <c r="I8" t="s">
        <v>10</v>
      </c>
      <c r="J8">
        <v>106.12</v>
      </c>
      <c r="K8">
        <v>146.13999999999999</v>
      </c>
      <c r="L8" s="2">
        <v>232.22412</v>
      </c>
      <c r="M8" t="s">
        <v>13</v>
      </c>
    </row>
    <row r="9" spans="1:13" x14ac:dyDescent="0.45">
      <c r="A9">
        <v>129</v>
      </c>
      <c r="B9">
        <v>0.75129999999999997</v>
      </c>
      <c r="C9">
        <v>4.0199999999999996</v>
      </c>
      <c r="D9">
        <f t="shared" si="0"/>
        <v>0.98588757631015633</v>
      </c>
      <c r="E9">
        <f t="shared" si="1"/>
        <v>0.98588757631015633</v>
      </c>
      <c r="I9" t="s">
        <v>12</v>
      </c>
      <c r="J9">
        <f>1000/(J8+K8)</f>
        <v>3.9641639578212957</v>
      </c>
      <c r="K9">
        <f>1000/(J8+K8)</f>
        <v>3.9641639578212957</v>
      </c>
      <c r="M9" t="s">
        <v>19</v>
      </c>
    </row>
    <row r="10" spans="1:13" x14ac:dyDescent="0.45">
      <c r="A10">
        <v>170</v>
      </c>
      <c r="B10">
        <v>0.78939999999999999</v>
      </c>
      <c r="C10">
        <v>4.75</v>
      </c>
      <c r="D10">
        <f t="shared" si="0"/>
        <v>0.83485292951716494</v>
      </c>
      <c r="E10">
        <f t="shared" si="1"/>
        <v>0.83485292951716494</v>
      </c>
    </row>
    <row r="11" spans="1:13" x14ac:dyDescent="0.45">
      <c r="A11">
        <v>203</v>
      </c>
      <c r="B11">
        <v>0.81610000000000005</v>
      </c>
      <c r="C11">
        <v>5.44</v>
      </c>
      <c r="D11">
        <f t="shared" si="0"/>
        <v>0.72900975184333605</v>
      </c>
      <c r="E11">
        <f t="shared" si="1"/>
        <v>0.72900975184333605</v>
      </c>
    </row>
    <row r="12" spans="1:13" x14ac:dyDescent="0.45">
      <c r="A12">
        <v>235</v>
      </c>
      <c r="B12">
        <v>0.83489999999999998</v>
      </c>
      <c r="C12">
        <v>6.06</v>
      </c>
      <c r="D12">
        <f t="shared" si="0"/>
        <v>0.65448346943629598</v>
      </c>
      <c r="E12">
        <f t="shared" si="1"/>
        <v>0.65448346943629598</v>
      </c>
    </row>
    <row r="13" spans="1:13" x14ac:dyDescent="0.45">
      <c r="A13">
        <v>270</v>
      </c>
      <c r="B13">
        <v>0.85</v>
      </c>
      <c r="C13">
        <v>6.67</v>
      </c>
      <c r="D13">
        <f t="shared" si="0"/>
        <v>0.59462459367319442</v>
      </c>
      <c r="E13">
        <f t="shared" si="1"/>
        <v>0.59462459367319442</v>
      </c>
      <c r="J13" s="2"/>
      <c r="K13" s="2"/>
      <c r="L13" s="2"/>
    </row>
    <row r="14" spans="1:13" x14ac:dyDescent="0.45">
      <c r="A14">
        <v>321</v>
      </c>
      <c r="B14">
        <v>0.86719999999999997</v>
      </c>
      <c r="C14">
        <v>7.53</v>
      </c>
      <c r="D14">
        <f t="shared" si="0"/>
        <v>0.52644097359866815</v>
      </c>
      <c r="E14">
        <f t="shared" si="1"/>
        <v>0.52644097359866815</v>
      </c>
    </row>
    <row r="15" spans="1:13" x14ac:dyDescent="0.45">
      <c r="A15">
        <v>397</v>
      </c>
      <c r="B15">
        <v>0.88370000000000004</v>
      </c>
      <c r="C15">
        <v>8.6</v>
      </c>
      <c r="D15">
        <f t="shared" si="0"/>
        <v>0.46103226829461652</v>
      </c>
      <c r="E15">
        <f t="shared" si="1"/>
        <v>0.46103226829461652</v>
      </c>
    </row>
    <row r="16" spans="1:13" x14ac:dyDescent="0.45">
      <c r="A16">
        <v>488</v>
      </c>
      <c r="B16">
        <v>0.89739999999999998</v>
      </c>
      <c r="C16">
        <v>9.75</v>
      </c>
      <c r="D16">
        <f t="shared" si="0"/>
        <v>0.40672322207246503</v>
      </c>
      <c r="E16">
        <f t="shared" si="1"/>
        <v>0.40672322207246503</v>
      </c>
    </row>
    <row r="17" spans="1:5" x14ac:dyDescent="0.45">
      <c r="A17">
        <v>596</v>
      </c>
      <c r="B17">
        <v>0.90839999999999999</v>
      </c>
      <c r="C17">
        <v>10.92</v>
      </c>
      <c r="D17">
        <f t="shared" si="0"/>
        <v>0.36311741853643076</v>
      </c>
      <c r="E17">
        <f t="shared" si="1"/>
        <v>0.36311741853643076</v>
      </c>
    </row>
    <row r="18" spans="1:5" x14ac:dyDescent="0.45">
      <c r="A18">
        <v>690</v>
      </c>
      <c r="B18">
        <v>0.9163</v>
      </c>
      <c r="C18">
        <v>11.94</v>
      </c>
      <c r="D18">
        <f t="shared" si="0"/>
        <v>0.33180052326964243</v>
      </c>
      <c r="E18">
        <f t="shared" si="1"/>
        <v>0.33180052326964243</v>
      </c>
    </row>
    <row r="19" spans="1:5" x14ac:dyDescent="0.45">
      <c r="A19">
        <v>793</v>
      </c>
      <c r="B19">
        <v>0.92200000000000004</v>
      </c>
      <c r="C19">
        <v>12.82</v>
      </c>
      <c r="D19">
        <f t="shared" si="0"/>
        <v>0.30920478871006091</v>
      </c>
      <c r="E19">
        <f t="shared" si="1"/>
        <v>0.30920478871006091</v>
      </c>
    </row>
    <row r="20" spans="1:5" x14ac:dyDescent="0.45">
      <c r="A20">
        <v>900</v>
      </c>
      <c r="B20">
        <v>0.92730000000000001</v>
      </c>
      <c r="C20">
        <v>13.77</v>
      </c>
      <c r="D20">
        <f t="shared" si="0"/>
        <v>0.28819471973360816</v>
      </c>
      <c r="E20">
        <f t="shared" si="1"/>
        <v>0.28819471973360816</v>
      </c>
    </row>
    <row r="21" spans="1:5" x14ac:dyDescent="0.45">
      <c r="A21">
        <v>1008</v>
      </c>
      <c r="B21">
        <v>0.93030000000000002</v>
      </c>
      <c r="C21">
        <v>14.33</v>
      </c>
      <c r="D21">
        <f t="shared" si="0"/>
        <v>0.27630222786014424</v>
      </c>
      <c r="E21">
        <f t="shared" si="1"/>
        <v>0.27630222786014424</v>
      </c>
    </row>
    <row r="22" spans="1:5" x14ac:dyDescent="0.45">
      <c r="A22">
        <v>1147</v>
      </c>
      <c r="B22">
        <v>0.93540000000000001</v>
      </c>
      <c r="C22">
        <v>15.478</v>
      </c>
      <c r="D22">
        <f t="shared" si="0"/>
        <v>0.25608499167525567</v>
      </c>
      <c r="E22">
        <f t="shared" si="1"/>
        <v>0.25608499167525567</v>
      </c>
    </row>
    <row r="23" spans="1:5" x14ac:dyDescent="0.45">
      <c r="A23">
        <v>1370</v>
      </c>
      <c r="B23">
        <v>0.9405</v>
      </c>
      <c r="C23">
        <v>16.809999999999999</v>
      </c>
      <c r="D23">
        <f t="shared" si="0"/>
        <v>0.23586775549036709</v>
      </c>
      <c r="E23">
        <f t="shared" si="1"/>
        <v>0.23586775549036709</v>
      </c>
    </row>
    <row r="24" spans="1:5" x14ac:dyDescent="0.45">
      <c r="A24">
        <v>1606</v>
      </c>
      <c r="B24">
        <v>0.94469999999999998</v>
      </c>
      <c r="C24">
        <v>18.079999999999998</v>
      </c>
      <c r="D24">
        <f t="shared" si="0"/>
        <v>0.21921826686751772</v>
      </c>
      <c r="E24">
        <f t="shared" si="1"/>
        <v>0.21921826686751772</v>
      </c>
    </row>
  </sheetData>
  <phoneticPr fontId="1"/>
  <hyperlinks>
    <hyperlink ref="I5" r:id="rId1" xr:uid="{D174AFD0-39EB-4DBF-AC0A-971AADEB5EF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 Ohno</dc:creator>
  <cp:lastModifiedBy>M. Ohno</cp:lastModifiedBy>
  <dcterms:created xsi:type="dcterms:W3CDTF">2026-02-28T11:54:17Z</dcterms:created>
  <dcterms:modified xsi:type="dcterms:W3CDTF">2026-02-28T12:38:53Z</dcterms:modified>
</cp:coreProperties>
</file>