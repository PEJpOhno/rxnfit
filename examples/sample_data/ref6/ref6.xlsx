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_oh\DataScience\venvs\rxnfit314_sphinx\examples\sample_data\ref6\"/>
    </mc:Choice>
  </mc:AlternateContent>
  <xr:revisionPtr revIDLastSave="0" documentId="13_ncr:1_{9F74C3D9-E0ED-4066-8E89-A89FFD51E37C}" xr6:coauthVersionLast="47" xr6:coauthVersionMax="47" xr10:uidLastSave="{00000000-0000-0000-0000-000000000000}"/>
  <bookViews>
    <workbookView xWindow="-108" yWindow="-108" windowWidth="23256" windowHeight="13896" xr2:uid="{0E1539FD-C77D-41D1-B5B0-DBFB2F7E9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R10" i="1"/>
  <c r="D4" i="1" s="1"/>
  <c r="E4" i="1" s="1"/>
  <c r="M4" i="1" s="1"/>
  <c r="S9" i="1"/>
  <c r="G24" i="1" s="1"/>
  <c r="S8" i="1"/>
  <c r="F22" i="1" s="1"/>
  <c r="D6" i="1" l="1"/>
  <c r="E6" i="1" s="1"/>
  <c r="M6" i="1" s="1"/>
  <c r="D19" i="1"/>
  <c r="E19" i="1" s="1"/>
  <c r="M19" i="1" s="1"/>
  <c r="D21" i="1"/>
  <c r="E21" i="1" s="1"/>
  <c r="M21" i="1" s="1"/>
  <c r="D15" i="1"/>
  <c r="E15" i="1" s="1"/>
  <c r="M15" i="1" s="1"/>
  <c r="D14" i="1"/>
  <c r="E14" i="1" s="1"/>
  <c r="M14" i="1" s="1"/>
  <c r="D9" i="1"/>
  <c r="E9" i="1" s="1"/>
  <c r="M9" i="1" s="1"/>
  <c r="D8" i="1"/>
  <c r="E8" i="1" s="1"/>
  <c r="M8" i="1" s="1"/>
  <c r="D20" i="1"/>
  <c r="E20" i="1" s="1"/>
  <c r="M20" i="1" s="1"/>
  <c r="D18" i="1"/>
  <c r="E18" i="1" s="1"/>
  <c r="M18" i="1" s="1"/>
  <c r="D7" i="1"/>
  <c r="E7" i="1" s="1"/>
  <c r="M7" i="1" s="1"/>
  <c r="D3" i="1"/>
  <c r="E3" i="1" s="1"/>
  <c r="M3" i="1" s="1"/>
  <c r="D13" i="1"/>
  <c r="E13" i="1" s="1"/>
  <c r="M13" i="1" s="1"/>
  <c r="D24" i="1"/>
  <c r="E24" i="1" s="1"/>
  <c r="M24" i="1" s="1"/>
  <c r="D12" i="1"/>
  <c r="E12" i="1" s="1"/>
  <c r="M12" i="1" s="1"/>
  <c r="D23" i="1"/>
  <c r="E23" i="1" s="1"/>
  <c r="M23" i="1" s="1"/>
  <c r="D11" i="1"/>
  <c r="E11" i="1" s="1"/>
  <c r="M11" i="1" s="1"/>
  <c r="D22" i="1"/>
  <c r="E22" i="1" s="1"/>
  <c r="M22" i="1" s="1"/>
  <c r="D10" i="1"/>
  <c r="E10" i="1" s="1"/>
  <c r="M10" i="1" s="1"/>
  <c r="D17" i="1"/>
  <c r="E17" i="1" s="1"/>
  <c r="M17" i="1" s="1"/>
  <c r="D5" i="1"/>
  <c r="E5" i="1" s="1"/>
  <c r="M5" i="1" s="1"/>
  <c r="D16" i="1"/>
  <c r="E16" i="1" s="1"/>
  <c r="M16" i="1" s="1"/>
  <c r="H12" i="1"/>
  <c r="I12" i="1" s="1"/>
  <c r="H24" i="1"/>
  <c r="I24" i="1" s="1"/>
  <c r="H13" i="1"/>
  <c r="I13" i="1" s="1"/>
  <c r="H2" i="1"/>
  <c r="I2" i="1" s="1"/>
  <c r="H14" i="1"/>
  <c r="I14" i="1" s="1"/>
  <c r="H3" i="1"/>
  <c r="I3" i="1" s="1"/>
  <c r="H15" i="1"/>
  <c r="I15" i="1" s="1"/>
  <c r="H4" i="1"/>
  <c r="I4" i="1" s="1"/>
  <c r="H16" i="1"/>
  <c r="I16" i="1" s="1"/>
  <c r="H5" i="1"/>
  <c r="I5" i="1" s="1"/>
  <c r="H17" i="1"/>
  <c r="I17" i="1" s="1"/>
  <c r="H6" i="1"/>
  <c r="I6" i="1" s="1"/>
  <c r="H18" i="1"/>
  <c r="I18" i="1" s="1"/>
  <c r="H7" i="1"/>
  <c r="I7" i="1" s="1"/>
  <c r="H19" i="1"/>
  <c r="I19" i="1" s="1"/>
  <c r="H8" i="1"/>
  <c r="I8" i="1" s="1"/>
  <c r="H20" i="1"/>
  <c r="I20" i="1" s="1"/>
  <c r="H9" i="1"/>
  <c r="I9" i="1" s="1"/>
  <c r="H21" i="1"/>
  <c r="I21" i="1" s="1"/>
  <c r="H10" i="1"/>
  <c r="I10" i="1" s="1"/>
  <c r="H22" i="1"/>
  <c r="I22" i="1" s="1"/>
  <c r="H11" i="1"/>
  <c r="I11" i="1" s="1"/>
  <c r="H23" i="1"/>
  <c r="I23" i="1" s="1"/>
  <c r="F17" i="1"/>
  <c r="F5" i="1"/>
  <c r="F6" i="1"/>
  <c r="J6" i="1" s="1"/>
  <c r="F11" i="1"/>
  <c r="F12" i="1"/>
  <c r="F18" i="1"/>
  <c r="F23" i="1"/>
  <c r="F24" i="1"/>
  <c r="G3" i="1"/>
  <c r="K3" i="1" s="1"/>
  <c r="G7" i="1"/>
  <c r="G8" i="1"/>
  <c r="G9" i="1"/>
  <c r="F2" i="1"/>
  <c r="G2" i="1"/>
  <c r="T8" i="1"/>
  <c r="T9" i="1"/>
  <c r="G13" i="1"/>
  <c r="G14" i="1"/>
  <c r="K14" i="1" s="1"/>
  <c r="G15" i="1"/>
  <c r="G16" i="1"/>
  <c r="G17" i="1"/>
  <c r="F13" i="1"/>
  <c r="F14" i="1"/>
  <c r="J14" i="1" s="1"/>
  <c r="G4" i="1"/>
  <c r="F3" i="1"/>
  <c r="F15" i="1"/>
  <c r="G5" i="1"/>
  <c r="F4" i="1"/>
  <c r="F16" i="1"/>
  <c r="G6" i="1"/>
  <c r="G18" i="1"/>
  <c r="G19" i="1"/>
  <c r="G20" i="1"/>
  <c r="K20" i="1" s="1"/>
  <c r="F7" i="1"/>
  <c r="F19" i="1"/>
  <c r="G21" i="1"/>
  <c r="G22" i="1"/>
  <c r="G23" i="1"/>
  <c r="K23" i="1" s="1"/>
  <c r="F8" i="1"/>
  <c r="F20" i="1"/>
  <c r="G10" i="1"/>
  <c r="F9" i="1"/>
  <c r="F21" i="1"/>
  <c r="G11" i="1"/>
  <c r="F10" i="1"/>
  <c r="J10" i="1" s="1"/>
  <c r="G12" i="1"/>
  <c r="N22" i="1" l="1"/>
  <c r="N10" i="1"/>
  <c r="N21" i="1"/>
  <c r="N9" i="1"/>
  <c r="N20" i="1"/>
  <c r="N8" i="1"/>
  <c r="N19" i="1"/>
  <c r="N7" i="1"/>
  <c r="N18" i="1"/>
  <c r="N6" i="1"/>
  <c r="N17" i="1"/>
  <c r="N5" i="1"/>
  <c r="N16" i="1"/>
  <c r="N4" i="1"/>
  <c r="N15" i="1"/>
  <c r="N3" i="1"/>
  <c r="N14" i="1"/>
  <c r="N13" i="1"/>
  <c r="N24" i="1"/>
  <c r="N12" i="1"/>
  <c r="N23" i="1"/>
  <c r="N11" i="1"/>
  <c r="K5" i="1"/>
  <c r="K2" i="1"/>
  <c r="K22" i="1"/>
  <c r="J3" i="1"/>
  <c r="J2" i="1"/>
  <c r="J8" i="1"/>
  <c r="J15" i="1"/>
  <c r="J5" i="1"/>
  <c r="K4" i="1"/>
  <c r="K9" i="1"/>
  <c r="J20" i="1"/>
  <c r="J11" i="1"/>
  <c r="L11" i="1" s="1"/>
  <c r="J17" i="1"/>
  <c r="K21" i="1"/>
  <c r="J19" i="1"/>
  <c r="J13" i="1"/>
  <c r="K17" i="1"/>
  <c r="K11" i="1"/>
  <c r="K19" i="1"/>
  <c r="L19" i="1" s="1"/>
  <c r="K13" i="1"/>
  <c r="K8" i="1"/>
  <c r="K12" i="1"/>
  <c r="J22" i="1"/>
  <c r="L22" i="1" s="1"/>
  <c r="K16" i="1"/>
  <c r="J24" i="1"/>
  <c r="J21" i="1"/>
  <c r="L21" i="1" s="1"/>
  <c r="K18" i="1"/>
  <c r="K15" i="1"/>
  <c r="J23" i="1"/>
  <c r="L23" i="1" s="1"/>
  <c r="L3" i="1"/>
  <c r="J9" i="1"/>
  <c r="K6" i="1"/>
  <c r="L6" i="1" s="1"/>
  <c r="J18" i="1"/>
  <c r="L20" i="1"/>
  <c r="L14" i="1"/>
  <c r="J7" i="1"/>
  <c r="K7" i="1"/>
  <c r="K10" i="1"/>
  <c r="L10" i="1" s="1"/>
  <c r="J16" i="1"/>
  <c r="J12" i="1"/>
  <c r="J4" i="1"/>
  <c r="K24" i="1"/>
  <c r="L5" i="1" l="1"/>
  <c r="L9" i="1"/>
  <c r="L4" i="1"/>
  <c r="L16" i="1"/>
  <c r="L8" i="1"/>
  <c r="L15" i="1"/>
  <c r="L13" i="1"/>
  <c r="L17" i="1"/>
  <c r="L18" i="1"/>
  <c r="L12" i="1"/>
  <c r="L24" i="1"/>
  <c r="L7" i="1"/>
</calcChain>
</file>

<file path=xl/sharedStrings.xml><?xml version="1.0" encoding="utf-8"?>
<sst xmlns="http://schemas.openxmlformats.org/spreadsheetml/2006/main" count="44" uniqueCount="44">
  <si>
    <t>min</t>
    <phoneticPr fontId="1"/>
  </si>
  <si>
    <t>conv</t>
    <phoneticPr fontId="1"/>
  </si>
  <si>
    <t>DPn</t>
    <phoneticPr fontId="1"/>
  </si>
  <si>
    <t>https://doi.org/10.1021/ja01267a030</t>
    <phoneticPr fontId="1"/>
  </si>
  <si>
    <t>Paul J. Flory</t>
  </si>
  <si>
    <t>Journal of the American Chemical Society 1939 61 (12), 3334-3340</t>
  </si>
  <si>
    <t>DOI: 10.1021/ja01267a030</t>
  </si>
  <si>
    <t>Kinetics of Polyesterification: A Study of the Effects of Molecular Weight and Viscosity on Reaction Rate</t>
    <phoneticPr fontId="1"/>
  </si>
  <si>
    <t>diethylene glycol</t>
    <phoneticPr fontId="1"/>
  </si>
  <si>
    <t>adipic acid</t>
    <phoneticPr fontId="1"/>
  </si>
  <si>
    <t>MW</t>
    <phoneticPr fontId="1"/>
  </si>
  <si>
    <t>CRU</t>
    <phoneticPr fontId="1"/>
  </si>
  <si>
    <t>mol/1000g</t>
    <phoneticPr fontId="1"/>
  </si>
  <si>
    <t>CRU MWはモノマーの和から縮合した水と末端Hを除いた</t>
    <rPh sb="12" eb="13">
      <t>ワ</t>
    </rPh>
    <rPh sb="15" eb="17">
      <t>シュクゴウ</t>
    </rPh>
    <rPh sb="19" eb="20">
      <t>ミズ</t>
    </rPh>
    <rPh sb="21" eb="23">
      <t>マッタン</t>
    </rPh>
    <rPh sb="25" eb="26">
      <t>ノゾ</t>
    </rPh>
    <phoneticPr fontId="1"/>
  </si>
  <si>
    <t>polyest</t>
    <phoneticPr fontId="1"/>
  </si>
  <si>
    <t>Mn</t>
    <phoneticPr fontId="1"/>
  </si>
  <si>
    <t>H2O_wt</t>
    <phoneticPr fontId="1"/>
  </si>
  <si>
    <t>Tot_wt</t>
    <phoneticPr fontId="1"/>
  </si>
  <si>
    <t>AdA_mol</t>
    <phoneticPr fontId="1"/>
  </si>
  <si>
    <t>DEG_mol</t>
    <phoneticPr fontId="1"/>
  </si>
  <si>
    <t>DEG</t>
    <phoneticPr fontId="1"/>
  </si>
  <si>
    <t>AdA</t>
    <phoneticPr fontId="1"/>
  </si>
  <si>
    <t>各モノマーの物質量DEG_mol, AdA_molは仕込み値と転化率から算出した</t>
    <rPh sb="0" eb="1">
      <t>カク</t>
    </rPh>
    <rPh sb="6" eb="9">
      <t>ブッシツリョウ</t>
    </rPh>
    <rPh sb="26" eb="28">
      <t>シコ</t>
    </rPh>
    <rPh sb="29" eb="30">
      <t>アタイ</t>
    </rPh>
    <rPh sb="31" eb="34">
      <t>テンカリツ</t>
    </rPh>
    <rPh sb="36" eb="38">
      <t>サンシュツ</t>
    </rPh>
    <phoneticPr fontId="1"/>
  </si>
  <si>
    <t>各モノマーの仕込み値は、参考文献の実験項を参照した。初期張り込の1000g中の両モノマーの物質量が等しくなるように算出し、その物質量は各3.96 mol、DEG 420.7g, AdA 579.3gとした。触媒重量は無視した。</t>
    <rPh sb="0" eb="1">
      <t>カク</t>
    </rPh>
    <rPh sb="6" eb="8">
      <t>シコ</t>
    </rPh>
    <rPh sb="9" eb="10">
      <t>チ</t>
    </rPh>
    <rPh sb="12" eb="16">
      <t>サンコウブンケン</t>
    </rPh>
    <rPh sb="17" eb="20">
      <t>ジッケンコウ</t>
    </rPh>
    <rPh sb="21" eb="23">
      <t>サンショウ</t>
    </rPh>
    <rPh sb="26" eb="28">
      <t>ショキ</t>
    </rPh>
    <rPh sb="28" eb="29">
      <t>ハ</t>
    </rPh>
    <rPh sb="30" eb="31">
      <t>コミ</t>
    </rPh>
    <rPh sb="37" eb="38">
      <t>チュウ</t>
    </rPh>
    <rPh sb="39" eb="40">
      <t>リョウ</t>
    </rPh>
    <rPh sb="45" eb="48">
      <t>ブッシツリョウ</t>
    </rPh>
    <rPh sb="49" eb="50">
      <t>ヒト</t>
    </rPh>
    <rPh sb="57" eb="59">
      <t>サンシュツ</t>
    </rPh>
    <rPh sb="63" eb="66">
      <t>ブッシツリョウ</t>
    </rPh>
    <rPh sb="67" eb="68">
      <t>カク</t>
    </rPh>
    <rPh sb="103" eb="105">
      <t>ショクバイ</t>
    </rPh>
    <rPh sb="105" eb="107">
      <t>ジュウリョウ</t>
    </rPh>
    <rPh sb="108" eb="110">
      <t>ムシ</t>
    </rPh>
    <phoneticPr fontId="1"/>
  </si>
  <si>
    <t>H2O_wtは重縮合反応により生成した水の重量で、転化率から算出した。</t>
    <rPh sb="7" eb="10">
      <t>ジュウシュクゴウ</t>
    </rPh>
    <rPh sb="10" eb="12">
      <t>ハンノウ</t>
    </rPh>
    <rPh sb="15" eb="17">
      <t>セイセイ</t>
    </rPh>
    <rPh sb="19" eb="20">
      <t>ミズ</t>
    </rPh>
    <rPh sb="21" eb="23">
      <t>ジュウリョウ</t>
    </rPh>
    <rPh sb="25" eb="28">
      <t>テンカリツ</t>
    </rPh>
    <rPh sb="30" eb="32">
      <t>サンシュツ</t>
    </rPh>
    <phoneticPr fontId="1"/>
  </si>
  <si>
    <t>convはモノマー転化率であり、Table I中のρ。実験手順からはAdA基準になる。</t>
    <rPh sb="9" eb="12">
      <t>テンカリツ</t>
    </rPh>
    <rPh sb="23" eb="24">
      <t>チュウ</t>
    </rPh>
    <rPh sb="27" eb="29">
      <t>ジッケン</t>
    </rPh>
    <rPh sb="29" eb="31">
      <t>テジュン</t>
    </rPh>
    <rPh sb="37" eb="39">
      <t>キジュン</t>
    </rPh>
    <phoneticPr fontId="1"/>
  </si>
  <si>
    <t>Tot_wtは反応混合物の重量。実験手順より、重合により生成する水は系から除かれるため、初期張り込み1000gから、生成分の水を減じた。</t>
    <rPh sb="7" eb="12">
      <t>ハンノウコンゴウブツ</t>
    </rPh>
    <rPh sb="13" eb="15">
      <t>ジュウリョウ</t>
    </rPh>
    <rPh sb="16" eb="18">
      <t>ジッケン</t>
    </rPh>
    <rPh sb="18" eb="20">
      <t>テジュン</t>
    </rPh>
    <rPh sb="23" eb="25">
      <t>ジュウゴウ</t>
    </rPh>
    <rPh sb="28" eb="30">
      <t>セイセイ</t>
    </rPh>
    <rPh sb="32" eb="33">
      <t>ミズ</t>
    </rPh>
    <rPh sb="34" eb="35">
      <t>ケイ</t>
    </rPh>
    <rPh sb="37" eb="38">
      <t>ノゾ</t>
    </rPh>
    <rPh sb="44" eb="47">
      <t>ショキハ</t>
    </rPh>
    <rPh sb="48" eb="49">
      <t>コミ</t>
    </rPh>
    <rPh sb="58" eb="61">
      <t>セイセイブン</t>
    </rPh>
    <rPh sb="62" eb="63">
      <t>ミズ</t>
    </rPh>
    <rPh sb="64" eb="65">
      <t>ゲン</t>
    </rPh>
    <phoneticPr fontId="1"/>
  </si>
  <si>
    <t>DPnはTable I中のDPであり、重合度。</t>
    <rPh sb="11" eb="12">
      <t>チュウ</t>
    </rPh>
    <rPh sb="19" eb="22">
      <t>ジュウゴウド</t>
    </rPh>
    <phoneticPr fontId="1"/>
  </si>
  <si>
    <t>Mnは数平均分離量。DPnにCRUの分子量を乗じ、末端の水相当18.02を加えた</t>
    <rPh sb="3" eb="6">
      <t>カズヘイキン</t>
    </rPh>
    <rPh sb="6" eb="9">
      <t>ブンリリョウ</t>
    </rPh>
    <rPh sb="18" eb="21">
      <t>ブンシリョウ</t>
    </rPh>
    <rPh sb="22" eb="23">
      <t>ジョウ</t>
    </rPh>
    <rPh sb="25" eb="27">
      <t>マッタン</t>
    </rPh>
    <rPh sb="28" eb="29">
      <t>ミズ</t>
    </rPh>
    <rPh sb="29" eb="31">
      <t>ソウトウ</t>
    </rPh>
    <rPh sb="37" eb="38">
      <t>クワ</t>
    </rPh>
    <phoneticPr fontId="1"/>
  </si>
  <si>
    <t>minはTable Iのもの。</t>
    <phoneticPr fontId="1"/>
  </si>
  <si>
    <t>実験データは参考文献のTable Iから採用した。ただし0分は、実験項の仕込み値。</t>
    <rPh sb="0" eb="2">
      <t>ジッケン</t>
    </rPh>
    <rPh sb="6" eb="10">
      <t>サンコウブンケン</t>
    </rPh>
    <rPh sb="20" eb="22">
      <t>サイヨウ</t>
    </rPh>
    <phoneticPr fontId="1"/>
  </si>
  <si>
    <t>DEG, AdA, polyestは各モノマーおよび生成したポリエステル（ポリマー及びオリゴマー）の濃度。単位は[mol/1000g]。</t>
    <rPh sb="18" eb="19">
      <t>カク</t>
    </rPh>
    <rPh sb="26" eb="28">
      <t>セイセイ</t>
    </rPh>
    <rPh sb="41" eb="42">
      <t>オヨ</t>
    </rPh>
    <rPh sb="50" eb="52">
      <t>ノウド</t>
    </rPh>
    <rPh sb="53" eb="55">
      <t>タンイ</t>
    </rPh>
    <phoneticPr fontId="1"/>
  </si>
  <si>
    <t>polyestは総重量Tot_wtから各モノマーの重量を減じたものを数平均分子量Mnで除して得たポリマー物質量を、反応混合物1000gあたりに換算したもの。単位 [mol/1000g]。</t>
    <rPh sb="8" eb="11">
      <t>ソウジュウリョウ</t>
    </rPh>
    <rPh sb="19" eb="20">
      <t>カク</t>
    </rPh>
    <rPh sb="25" eb="27">
      <t>ジュウリョウ</t>
    </rPh>
    <rPh sb="28" eb="29">
      <t>ゲン</t>
    </rPh>
    <rPh sb="34" eb="40">
      <t>カズヘイキンブンシリョウ</t>
    </rPh>
    <rPh sb="43" eb="44">
      <t>ジョ</t>
    </rPh>
    <rPh sb="46" eb="47">
      <t>エ</t>
    </rPh>
    <rPh sb="52" eb="55">
      <t>ブッシツリョウ</t>
    </rPh>
    <rPh sb="57" eb="62">
      <t>ハンノウコンゴウブツ</t>
    </rPh>
    <rPh sb="71" eb="73">
      <t>カンサン</t>
    </rPh>
    <rPh sb="78" eb="80">
      <t>タンイ</t>
    </rPh>
    <phoneticPr fontId="1"/>
  </si>
  <si>
    <t>mMn</t>
    <phoneticPr fontId="1"/>
  </si>
  <si>
    <t>recip_mMn</t>
    <phoneticPr fontId="1"/>
  </si>
  <si>
    <t>mMn（ミリMn）はMnを1000で除したもの。Mnの逆数のオーダーを、モノマー、ポリマー濃度のそれと揃えるため換算した。</t>
    <rPh sb="18" eb="19">
      <t>ジョ</t>
    </rPh>
    <rPh sb="27" eb="29">
      <t>ギャクスウ</t>
    </rPh>
    <rPh sb="45" eb="47">
      <t>ノウド</t>
    </rPh>
    <rPh sb="51" eb="52">
      <t>ソロ</t>
    </rPh>
    <rPh sb="56" eb="58">
      <t>カンサン</t>
    </rPh>
    <phoneticPr fontId="1"/>
  </si>
  <si>
    <t>recip_mMnはmMnの逆数</t>
    <rPh sb="14" eb="16">
      <t>ギャクスウ</t>
    </rPh>
    <phoneticPr fontId="1"/>
  </si>
  <si>
    <t>無溶媒等物質量混合物1000g中の重量[g]</t>
    <rPh sb="0" eb="1">
      <t>ム</t>
    </rPh>
    <rPh sb="1" eb="3">
      <t>ヨウバイ</t>
    </rPh>
    <rPh sb="3" eb="4">
      <t>トウ</t>
    </rPh>
    <rPh sb="4" eb="6">
      <t>ブッシツ</t>
    </rPh>
    <rPh sb="6" eb="7">
      <t>リョウ</t>
    </rPh>
    <rPh sb="7" eb="10">
      <t>コンゴウブツ</t>
    </rPh>
    <rPh sb="15" eb="16">
      <t>チュウ</t>
    </rPh>
    <rPh sb="17" eb="19">
      <t>ジュウリョウ</t>
    </rPh>
    <phoneticPr fontId="1"/>
  </si>
  <si>
    <t>MT</t>
    <phoneticPr fontId="1"/>
  </si>
  <si>
    <t>両末端の末端封止部分の分子量</t>
    <phoneticPr fontId="1"/>
  </si>
  <si>
    <t>MT: 両末端の末端封止部分の分子量</t>
    <phoneticPr fontId="1"/>
  </si>
  <si>
    <t>NfB: CRUの重合反応により新たに形成された結合の数</t>
    <rPh sb="9" eb="13">
      <t>ジュウゴウハンノウ</t>
    </rPh>
    <rPh sb="16" eb="17">
      <t>アラ</t>
    </rPh>
    <rPh sb="19" eb="21">
      <t>ケイセイ</t>
    </rPh>
    <rPh sb="24" eb="26">
      <t>ケツゴウ</t>
    </rPh>
    <rPh sb="27" eb="28">
      <t>カズ</t>
    </rPh>
    <phoneticPr fontId="1"/>
  </si>
  <si>
    <t>CfB</t>
    <phoneticPr fontId="1"/>
  </si>
  <si>
    <t>CfB: NfB分子と同等に扱った際の、NfB濃度 [mol/1000g]。分子量はMn使用</t>
    <rPh sb="8" eb="10">
      <t>ブンシ</t>
    </rPh>
    <rPh sb="11" eb="13">
      <t>ドウトウ</t>
    </rPh>
    <rPh sb="14" eb="15">
      <t>アツカ</t>
    </rPh>
    <rPh sb="17" eb="18">
      <t>サイ</t>
    </rPh>
    <rPh sb="23" eb="25">
      <t>ノウド</t>
    </rPh>
    <rPh sb="38" eb="41">
      <t>ブンシリョウ</t>
    </rPh>
    <rPh sb="44" eb="46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</si>
</sst>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ja01267a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E1FF-6AAD-4C3E-B380-DA82EB820F5D}">
  <dimension ref="A1:U30"/>
  <sheetViews>
    <sheetView tabSelected="1" workbookViewId="0"/>
  </sheetViews>
  <sheetFormatPr defaultRowHeight="18" x14ac:dyDescent="0.45"/>
  <cols>
    <col min="13" max="15" width="8.79687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15</v>
      </c>
      <c r="E1" t="s">
        <v>33</v>
      </c>
      <c r="F1" t="s">
        <v>19</v>
      </c>
      <c r="G1" t="s">
        <v>18</v>
      </c>
      <c r="H1" t="s">
        <v>16</v>
      </c>
      <c r="I1" t="s">
        <v>17</v>
      </c>
      <c r="J1" t="s">
        <v>20</v>
      </c>
      <c r="K1" t="s">
        <v>21</v>
      </c>
      <c r="L1" t="s">
        <v>14</v>
      </c>
      <c r="M1" t="s">
        <v>34</v>
      </c>
      <c r="N1" t="s">
        <v>42</v>
      </c>
      <c r="Q1" t="s">
        <v>7</v>
      </c>
    </row>
    <row r="2" spans="1:21" x14ac:dyDescent="0.45">
      <c r="A2">
        <v>0</v>
      </c>
      <c r="B2">
        <v>0</v>
      </c>
      <c r="C2">
        <v>0</v>
      </c>
      <c r="D2">
        <v>0</v>
      </c>
      <c r="E2">
        <f>D2/1000</f>
        <v>0</v>
      </c>
      <c r="F2">
        <f>$S$8*(1-B2)</f>
        <v>3.9641639578212957</v>
      </c>
      <c r="G2">
        <f>$S$9*(1-B2)</f>
        <v>3.9641639578212957</v>
      </c>
      <c r="H2">
        <f>$S$8*B2*18.02</f>
        <v>0</v>
      </c>
      <c r="I2">
        <f>1000-H2</f>
        <v>1000</v>
      </c>
      <c r="J2">
        <f>F2/(I2/1000)</f>
        <v>3.9641639578212957</v>
      </c>
      <c r="K2">
        <f>G2/(I2/1000)</f>
        <v>3.9641639578212957</v>
      </c>
      <c r="L2">
        <v>0</v>
      </c>
      <c r="N2" s="4">
        <v>0</v>
      </c>
      <c r="Q2" t="s">
        <v>4</v>
      </c>
    </row>
    <row r="3" spans="1:21" x14ac:dyDescent="0.45">
      <c r="A3">
        <v>6</v>
      </c>
      <c r="B3">
        <v>0.13789999999999999</v>
      </c>
      <c r="C3">
        <v>1.1599999999999999</v>
      </c>
      <c r="D3">
        <f>C3*$R$10+18.02</f>
        <v>268.83519999999999</v>
      </c>
      <c r="E3">
        <f t="shared" ref="E3:E24" si="0">D3/1000</f>
        <v>0.2688352</v>
      </c>
      <c r="F3">
        <f>$S$8*(1-B3)</f>
        <v>3.4175057480377391</v>
      </c>
      <c r="G3">
        <f>$S$9*(1-B3)</f>
        <v>3.4175057480377391</v>
      </c>
      <c r="H3">
        <f>$S$8*B3*18.02</f>
        <v>9.8507809402996891</v>
      </c>
      <c r="I3">
        <f t="shared" ref="I3:I24" si="1">1000-H3</f>
        <v>990.14921905970027</v>
      </c>
      <c r="J3">
        <f t="shared" ref="J3:J24" si="2">F3/(I3/1000)</f>
        <v>3.4515057753448404</v>
      </c>
      <c r="K3">
        <f t="shared" ref="K3:K24" si="3">G3/(I3/1000)</f>
        <v>3.4515057753448404</v>
      </c>
      <c r="L3">
        <f>((I3-J3*$R$8-K3*$R$9)/D3)/(I3/1000)</f>
        <v>0.44882878813457483</v>
      </c>
      <c r="M3" s="4">
        <f>1/E3</f>
        <v>3.719750984990061</v>
      </c>
      <c r="N3" s="4">
        <f>($G$2*(D3-($R$10+$R$12)))/(D3-$R$12)</f>
        <v>0.54678123556155778</v>
      </c>
      <c r="O3" s="4"/>
      <c r="Q3" t="s">
        <v>5</v>
      </c>
    </row>
    <row r="4" spans="1:21" x14ac:dyDescent="0.45">
      <c r="A4">
        <v>12</v>
      </c>
      <c r="B4">
        <v>0.247</v>
      </c>
      <c r="C4">
        <v>1.3280000000000001</v>
      </c>
      <c r="D4">
        <f>C4*$R$10+18.02</f>
        <v>305.16016000000002</v>
      </c>
      <c r="E4">
        <f t="shared" si="0"/>
        <v>0.30516016000000001</v>
      </c>
      <c r="F4">
        <f>$S$8*(1-B4)</f>
        <v>2.9850154602394356</v>
      </c>
      <c r="G4">
        <f>$S$9*(1-B4)</f>
        <v>2.9850154602394356</v>
      </c>
      <c r="H4">
        <f>$S$8*B4*18.02</f>
        <v>17.644255926425117</v>
      </c>
      <c r="I4">
        <f t="shared" si="1"/>
        <v>982.3557440735749</v>
      </c>
      <c r="J4">
        <f t="shared" si="2"/>
        <v>3.0386298224931729</v>
      </c>
      <c r="K4">
        <f t="shared" si="3"/>
        <v>3.0386298224931729</v>
      </c>
      <c r="L4">
        <f>((I4-J4*$R$8-K4*$R$9)/D4)/(I4/1000)</f>
        <v>0.71997459136029907</v>
      </c>
      <c r="M4" s="4">
        <f t="shared" ref="M4:M24" si="4">1/E4</f>
        <v>3.276967740480933</v>
      </c>
      <c r="N4" s="4">
        <f>($G$2*(D4-($R$10+$R$12)))/(D4-$R$12)</f>
        <v>0.97910073657032004</v>
      </c>
      <c r="O4" s="4"/>
      <c r="Q4" t="s">
        <v>6</v>
      </c>
    </row>
    <row r="5" spans="1:21" x14ac:dyDescent="0.45">
      <c r="A5">
        <v>23</v>
      </c>
      <c r="B5">
        <v>0.36749999999999999</v>
      </c>
      <c r="C5">
        <v>1.581</v>
      </c>
      <c r="D5">
        <f>C5*$R$10+18.02</f>
        <v>359.86381999999998</v>
      </c>
      <c r="E5">
        <f t="shared" si="0"/>
        <v>0.35986382</v>
      </c>
      <c r="F5">
        <f>$S$8*(1-B5)</f>
        <v>2.5073337033219696</v>
      </c>
      <c r="G5">
        <f>$S$9*(1-B5)</f>
        <v>2.5073337033219696</v>
      </c>
      <c r="H5">
        <f>$S$8*B5*18.02</f>
        <v>26.252081186077856</v>
      </c>
      <c r="I5">
        <f t="shared" si="1"/>
        <v>973.74791881392218</v>
      </c>
      <c r="J5">
        <f t="shared" si="2"/>
        <v>2.5749310010090065</v>
      </c>
      <c r="K5">
        <f t="shared" si="3"/>
        <v>2.5749310010090065</v>
      </c>
      <c r="L5">
        <f>((I5-J5*$R$8-K5*$R$9)/D5)/(I5/1000)</f>
        <v>0.9251724437246257</v>
      </c>
      <c r="M5" s="4">
        <f t="shared" si="4"/>
        <v>2.7788289470166796</v>
      </c>
      <c r="N5" s="4">
        <f>($G$2*(D5-($R$10+$R$12)))/(D5-$R$12)</f>
        <v>1.4567863753916332</v>
      </c>
      <c r="O5" s="4"/>
      <c r="Q5" s="1" t="s">
        <v>3</v>
      </c>
    </row>
    <row r="6" spans="1:21" x14ac:dyDescent="0.45">
      <c r="A6">
        <v>37</v>
      </c>
      <c r="B6">
        <v>0.4975</v>
      </c>
      <c r="C6">
        <v>1.9990000000000001</v>
      </c>
      <c r="D6">
        <f>C6*$R$10+18.02</f>
        <v>450.24378000000002</v>
      </c>
      <c r="E6">
        <f t="shared" si="0"/>
        <v>0.45024378000000004</v>
      </c>
      <c r="F6">
        <f>$S$8*(1-B6)</f>
        <v>1.9919923888052009</v>
      </c>
      <c r="G6">
        <f>$S$9*(1-B6)</f>
        <v>1.9919923888052009</v>
      </c>
      <c r="H6">
        <f>$S$8*B6*18.02</f>
        <v>35.538531673670022</v>
      </c>
      <c r="I6">
        <f t="shared" si="1"/>
        <v>964.46146832632996</v>
      </c>
      <c r="J6">
        <f t="shared" si="2"/>
        <v>2.06539343895406</v>
      </c>
      <c r="K6">
        <f t="shared" si="3"/>
        <v>2.06539343895406</v>
      </c>
      <c r="L6">
        <f>((I6-J6*$R$8-K6*$R$9)/D6)/(I6/1000)</f>
        <v>1.0211921596308204</v>
      </c>
      <c r="M6" s="4">
        <f t="shared" si="4"/>
        <v>2.2210190221839374</v>
      </c>
      <c r="N6" s="4">
        <f>($G$2*(D6-($R$10+$R$12)))/(D6-$R$12)</f>
        <v>1.9810904421528135</v>
      </c>
      <c r="O6" s="4"/>
    </row>
    <row r="7" spans="1:21" x14ac:dyDescent="0.45">
      <c r="A7">
        <v>59</v>
      </c>
      <c r="B7">
        <v>0.60799999999999998</v>
      </c>
      <c r="C7">
        <v>2.5499999999999998</v>
      </c>
      <c r="D7">
        <f>C7*$R$10+18.02</f>
        <v>569.38099999999997</v>
      </c>
      <c r="E7">
        <f t="shared" si="0"/>
        <v>0.56938100000000003</v>
      </c>
      <c r="F7">
        <f>$S$8*(1-B7)</f>
        <v>1.5539522714659479</v>
      </c>
      <c r="G7">
        <f>$S$9*(1-B7)</f>
        <v>1.5539522714659479</v>
      </c>
      <c r="H7">
        <f>$S$8*B7*18.02</f>
        <v>43.432014588123359</v>
      </c>
      <c r="I7">
        <f t="shared" si="1"/>
        <v>956.56798541187663</v>
      </c>
      <c r="J7">
        <f t="shared" si="2"/>
        <v>1.6245079232887469</v>
      </c>
      <c r="K7">
        <f t="shared" si="3"/>
        <v>1.6245079232887469</v>
      </c>
      <c r="L7">
        <f>((I7-J7*$R$8-K7*$R$9)/D7)/(I7/1000)</f>
        <v>1.0038886885503853</v>
      </c>
      <c r="M7" s="4">
        <f t="shared" si="4"/>
        <v>1.7562932377441467</v>
      </c>
      <c r="N7" s="4">
        <f>($G$2*(D7-($R$10+$R$12)))/(D7-$R$12)</f>
        <v>2.4095898567149048</v>
      </c>
      <c r="O7" s="4"/>
      <c r="R7" t="s">
        <v>10</v>
      </c>
      <c r="S7" t="s">
        <v>12</v>
      </c>
      <c r="T7" t="s">
        <v>37</v>
      </c>
    </row>
    <row r="8" spans="1:21" x14ac:dyDescent="0.45">
      <c r="A8">
        <v>88</v>
      </c>
      <c r="B8">
        <v>0.6865</v>
      </c>
      <c r="C8">
        <v>3.19</v>
      </c>
      <c r="D8">
        <f>C8*$R$10+18.02</f>
        <v>707.76179999999999</v>
      </c>
      <c r="E8">
        <f t="shared" si="0"/>
        <v>0.7077618</v>
      </c>
      <c r="F8">
        <f>$S$8*(1-B8)</f>
        <v>1.2427654007769762</v>
      </c>
      <c r="G8">
        <f>$S$9*(1-B8)</f>
        <v>1.2427654007769762</v>
      </c>
      <c r="H8">
        <f>$S$8*B8*18.02</f>
        <v>49.039601997938632</v>
      </c>
      <c r="I8">
        <f t="shared" si="1"/>
        <v>950.96039800206131</v>
      </c>
      <c r="J8">
        <f t="shared" si="2"/>
        <v>1.3068529492794738</v>
      </c>
      <c r="K8">
        <f t="shared" si="3"/>
        <v>1.3068529492794738</v>
      </c>
      <c r="L8">
        <f>((I8-J8*$R$8-K8*$R$9)/D8)/(I8/1000)</f>
        <v>0.92309708755118969</v>
      </c>
      <c r="M8" s="4">
        <f t="shared" si="4"/>
        <v>1.4129047371587447</v>
      </c>
      <c r="N8" s="4">
        <f>($G$2*(D8-($R$10+$R$12)))/(D8-$R$12)</f>
        <v>2.7214793315450274</v>
      </c>
      <c r="O8" s="4"/>
      <c r="Q8" t="s">
        <v>8</v>
      </c>
      <c r="R8">
        <v>106.12</v>
      </c>
      <c r="S8">
        <f>1000/(R8+R9)</f>
        <v>3.9641639578212957</v>
      </c>
      <c r="T8" s="3">
        <f>S8*R8</f>
        <v>420.6770792039959</v>
      </c>
    </row>
    <row r="9" spans="1:21" x14ac:dyDescent="0.45">
      <c r="A9">
        <v>129</v>
      </c>
      <c r="B9">
        <v>0.75129999999999997</v>
      </c>
      <c r="C9">
        <v>4.0199999999999996</v>
      </c>
      <c r="D9">
        <f>C9*$R$10+18.02</f>
        <v>887.22439999999983</v>
      </c>
      <c r="E9">
        <f t="shared" si="0"/>
        <v>0.8872243999999998</v>
      </c>
      <c r="F9">
        <f>$S$8*(1-B9)</f>
        <v>0.98588757631015633</v>
      </c>
      <c r="G9">
        <f>$S$9*(1-B9)</f>
        <v>0.98588757631015633</v>
      </c>
      <c r="H9">
        <f>$S$8*B9*18.02</f>
        <v>53.668540394830728</v>
      </c>
      <c r="I9">
        <f t="shared" si="1"/>
        <v>946.33145960516924</v>
      </c>
      <c r="J9">
        <f t="shared" si="2"/>
        <v>1.0417994311649437</v>
      </c>
      <c r="K9">
        <f t="shared" si="3"/>
        <v>1.0417994311649437</v>
      </c>
      <c r="L9">
        <f>((I9-J9*$R$8-K9*$R$9)/D9)/(I9/1000)</f>
        <v>0.81410234400191706</v>
      </c>
      <c r="M9" s="4">
        <f t="shared" si="4"/>
        <v>1.1271105708995381</v>
      </c>
      <c r="N9" s="4">
        <f>($G$2*(D9-($R$10+$R$12)))/(D9-$R$12)</f>
        <v>2.9780535205523164</v>
      </c>
      <c r="O9" s="4"/>
      <c r="Q9" t="s">
        <v>9</v>
      </c>
      <c r="R9">
        <v>146.13999999999999</v>
      </c>
      <c r="S9">
        <f>1000/(R8+R9)</f>
        <v>3.9641639578212957</v>
      </c>
      <c r="T9" s="3">
        <f>S9*R9</f>
        <v>579.32292079600415</v>
      </c>
    </row>
    <row r="10" spans="1:21" x14ac:dyDescent="0.45">
      <c r="A10">
        <v>170</v>
      </c>
      <c r="B10">
        <v>0.78939999999999999</v>
      </c>
      <c r="C10">
        <v>4.75</v>
      </c>
      <c r="D10">
        <f>C10*$R$10+18.02</f>
        <v>1045.0650000000001</v>
      </c>
      <c r="E10">
        <f t="shared" si="0"/>
        <v>1.0450650000000001</v>
      </c>
      <c r="F10">
        <f>$S$8*(1-B10)</f>
        <v>0.83485292951716494</v>
      </c>
      <c r="G10">
        <f>$S$9*(1-B10)</f>
        <v>0.83485292951716494</v>
      </c>
      <c r="H10">
        <f>$S$8*B10*18.02</f>
        <v>56.390184730040438</v>
      </c>
      <c r="I10">
        <f t="shared" si="1"/>
        <v>943.60981526995954</v>
      </c>
      <c r="J10">
        <f t="shared" si="2"/>
        <v>0.88474379558919691</v>
      </c>
      <c r="K10">
        <f t="shared" si="3"/>
        <v>0.88474379558919691</v>
      </c>
      <c r="L10">
        <f>((I10-J10*$R$8-K10*$R$9)/D10)/(I10/1000)</f>
        <v>0.73055451262878179</v>
      </c>
      <c r="M10" s="4">
        <f t="shared" si="4"/>
        <v>0.95687828029835453</v>
      </c>
      <c r="N10" s="4">
        <f>($G$2*(D10-($R$10+$R$12)))/(D10-$R$12)</f>
        <v>3.1296031245957598</v>
      </c>
      <c r="O10" s="4"/>
      <c r="Q10" t="s">
        <v>11</v>
      </c>
      <c r="R10" s="2">
        <f>R8+R9-18.02*2</f>
        <v>216.22</v>
      </c>
      <c r="U10" t="s">
        <v>13</v>
      </c>
    </row>
    <row r="11" spans="1:21" x14ac:dyDescent="0.45">
      <c r="A11">
        <v>203</v>
      </c>
      <c r="B11">
        <v>0.81610000000000005</v>
      </c>
      <c r="C11">
        <v>5.44</v>
      </c>
      <c r="D11">
        <f>C11*$R$10+18.02</f>
        <v>1194.2568000000001</v>
      </c>
      <c r="E11">
        <f t="shared" si="0"/>
        <v>1.1942568</v>
      </c>
      <c r="F11">
        <f>$S$8*(1-B11)</f>
        <v>0.72900975184333605</v>
      </c>
      <c r="G11">
        <f>$S$9*(1-B11)</f>
        <v>0.72900975184333605</v>
      </c>
      <c r="H11">
        <f>$S$8*B11*18.02</f>
        <v>58.297478791722831</v>
      </c>
      <c r="I11">
        <f t="shared" si="1"/>
        <v>941.70252120827718</v>
      </c>
      <c r="J11">
        <f t="shared" si="2"/>
        <v>0.77414017210866148</v>
      </c>
      <c r="K11">
        <f t="shared" si="3"/>
        <v>0.77414017210866148</v>
      </c>
      <c r="L11">
        <f>((I11-J11*$R$8-K11*$R$9)/D11)/(I11/1000)</f>
        <v>0.66369814262879068</v>
      </c>
      <c r="M11" s="4">
        <f t="shared" si="4"/>
        <v>0.83734084662528196</v>
      </c>
      <c r="N11" s="4">
        <f>($G$2*(D11-($R$10+$R$12)))/(D11-$R$12)</f>
        <v>3.2354573479276749</v>
      </c>
      <c r="O11" s="4"/>
    </row>
    <row r="12" spans="1:21" x14ac:dyDescent="0.45">
      <c r="A12">
        <v>235</v>
      </c>
      <c r="B12">
        <v>0.83489999999999998</v>
      </c>
      <c r="C12">
        <v>6.06</v>
      </c>
      <c r="D12">
        <f>C12*$R$10+18.02</f>
        <v>1328.3131999999998</v>
      </c>
      <c r="E12">
        <f t="shared" si="0"/>
        <v>1.3283131999999997</v>
      </c>
      <c r="F12">
        <f>$S$8*(1-B12)</f>
        <v>0.65448346943629598</v>
      </c>
      <c r="G12">
        <f>$S$9*(1-B12)</f>
        <v>0.65448346943629598</v>
      </c>
      <c r="H12">
        <f>$S$8*B12*18.02</f>
        <v>59.640442400697694</v>
      </c>
      <c r="I12">
        <f t="shared" si="1"/>
        <v>940.35955759930232</v>
      </c>
      <c r="J12">
        <f t="shared" si="2"/>
        <v>0.69599278717086077</v>
      </c>
      <c r="K12">
        <f t="shared" si="3"/>
        <v>0.69599278717086077</v>
      </c>
      <c r="L12">
        <f>((I12-J12*$R$8-K12*$R$9)/D12)/(I12/1000)</f>
        <v>0.61227548417852229</v>
      </c>
      <c r="M12" s="4">
        <f t="shared" si="4"/>
        <v>0.75283449716527717</v>
      </c>
      <c r="N12" s="4">
        <f>($G$2*(D12-($R$10+$R$12)))/(D12-$R$12)</f>
        <v>3.3100114895339532</v>
      </c>
      <c r="O12" s="4"/>
      <c r="Q12" t="s">
        <v>38</v>
      </c>
      <c r="R12">
        <v>18.02</v>
      </c>
      <c r="U12" t="s">
        <v>39</v>
      </c>
    </row>
    <row r="13" spans="1:21" x14ac:dyDescent="0.45">
      <c r="A13">
        <v>270</v>
      </c>
      <c r="B13">
        <v>0.85</v>
      </c>
      <c r="C13">
        <v>6.67</v>
      </c>
      <c r="D13">
        <f>C13*$R$10+18.02</f>
        <v>1460.2074</v>
      </c>
      <c r="E13">
        <f t="shared" si="0"/>
        <v>1.4602074</v>
      </c>
      <c r="F13">
        <f>$S$8*(1-B13)</f>
        <v>0.59462459367319442</v>
      </c>
      <c r="G13">
        <f>$S$9*(1-B13)</f>
        <v>0.59462459367319442</v>
      </c>
      <c r="H13">
        <f>$S$8*B13*18.02</f>
        <v>60.719099341948777</v>
      </c>
      <c r="I13">
        <f t="shared" si="1"/>
        <v>939.28090065805122</v>
      </c>
      <c r="J13">
        <f t="shared" si="2"/>
        <v>0.63306364821919203</v>
      </c>
      <c r="K13">
        <f t="shared" si="3"/>
        <v>0.63306364821919203</v>
      </c>
      <c r="L13">
        <f>((I13-J13*$R$8-K13*$R$9)/D13)/(I13/1000)</f>
        <v>0.56839863744604679</v>
      </c>
      <c r="M13" s="4">
        <f t="shared" si="4"/>
        <v>0.68483422286450535</v>
      </c>
      <c r="N13" s="4">
        <f>($G$2*(D13-($R$10+$R$12)))/(D13-$R$12)</f>
        <v>3.3698365278630806</v>
      </c>
      <c r="O13" s="4"/>
    </row>
    <row r="14" spans="1:21" x14ac:dyDescent="0.45">
      <c r="A14">
        <v>321</v>
      </c>
      <c r="B14">
        <v>0.86719999999999997</v>
      </c>
      <c r="C14">
        <v>7.53</v>
      </c>
      <c r="D14">
        <f>C14*$R$10+18.02</f>
        <v>1646.1566</v>
      </c>
      <c r="E14">
        <f t="shared" si="0"/>
        <v>1.6461566000000001</v>
      </c>
      <c r="F14">
        <f>$S$8*(1-B14)</f>
        <v>0.52644097359866815</v>
      </c>
      <c r="G14">
        <f>$S$9*(1-B14)</f>
        <v>0.52644097359866815</v>
      </c>
      <c r="H14">
        <f>$S$8*B14*18.02</f>
        <v>61.947768175691742</v>
      </c>
      <c r="I14">
        <f t="shared" si="1"/>
        <v>938.05223182430825</v>
      </c>
      <c r="J14">
        <f t="shared" si="2"/>
        <v>0.56120646136607399</v>
      </c>
      <c r="K14">
        <f t="shared" si="3"/>
        <v>0.56120646136607399</v>
      </c>
      <c r="L14">
        <f>((I14-J14*$R$8-K14*$R$9)/D14)/(I14/1000)</f>
        <v>0.51579598221448664</v>
      </c>
      <c r="M14" s="4">
        <f t="shared" si="4"/>
        <v>0.60747561926975835</v>
      </c>
      <c r="N14" s="4">
        <f>($G$2*(D14-($R$10+$R$12)))/(D14-$R$12)</f>
        <v>3.437714561032279</v>
      </c>
      <c r="O14" s="4"/>
    </row>
    <row r="15" spans="1:21" x14ac:dyDescent="0.45">
      <c r="A15">
        <v>397</v>
      </c>
      <c r="B15">
        <v>0.88370000000000004</v>
      </c>
      <c r="C15">
        <v>8.6</v>
      </c>
      <c r="D15">
        <f>C15*$R$10+18.02</f>
        <v>1877.5119999999999</v>
      </c>
      <c r="E15">
        <f t="shared" si="0"/>
        <v>1.8775119999999998</v>
      </c>
      <c r="F15">
        <f>$S$8*(1-B15)</f>
        <v>0.46103226829461652</v>
      </c>
      <c r="G15">
        <f>$S$9*(1-B15)</f>
        <v>0.46103226829461652</v>
      </c>
      <c r="H15">
        <f>$S$8*B15*18.02</f>
        <v>63.126433045270758</v>
      </c>
      <c r="I15">
        <f t="shared" si="1"/>
        <v>936.8735669547292</v>
      </c>
      <c r="J15">
        <f t="shared" si="2"/>
        <v>0.49209656943698799</v>
      </c>
      <c r="K15">
        <f t="shared" si="3"/>
        <v>0.49209656943698799</v>
      </c>
      <c r="L15">
        <f>((I15-J15*$R$8-K15*$R$9)/D15)/(I15/1000)</f>
        <v>0.4620473430278374</v>
      </c>
      <c r="M15" s="4">
        <f t="shared" si="4"/>
        <v>0.53261976488033103</v>
      </c>
      <c r="N15" s="4">
        <f>($G$2*(D15-($R$10+$R$12)))/(D15-$R$12)</f>
        <v>3.5032146604002148</v>
      </c>
      <c r="O15" s="4"/>
      <c r="Q15" t="s">
        <v>30</v>
      </c>
    </row>
    <row r="16" spans="1:21" x14ac:dyDescent="0.45">
      <c r="A16">
        <v>488</v>
      </c>
      <c r="B16">
        <v>0.89739999999999998</v>
      </c>
      <c r="C16">
        <v>9.75</v>
      </c>
      <c r="D16">
        <f>C16*$R$10+18.02</f>
        <v>2126.165</v>
      </c>
      <c r="E16">
        <f t="shared" si="0"/>
        <v>2.1261649999999999</v>
      </c>
      <c r="F16">
        <f>$S$8*(1-B16)</f>
        <v>0.40672322207246503</v>
      </c>
      <c r="G16">
        <f>$S$9*(1-B16)</f>
        <v>0.40672322207246503</v>
      </c>
      <c r="H16">
        <f>$S$8*B16*18.02</f>
        <v>64.105082058193929</v>
      </c>
      <c r="I16">
        <f t="shared" si="1"/>
        <v>935.89491794180606</v>
      </c>
      <c r="J16">
        <f t="shared" si="2"/>
        <v>0.43458214621671348</v>
      </c>
      <c r="K16">
        <f t="shared" si="3"/>
        <v>0.43458214621671348</v>
      </c>
      <c r="L16">
        <f>((I16-J16*$R$8-K16*$R$9)/D16)/(I16/1000)</f>
        <v>0.41523740942358134</v>
      </c>
      <c r="M16" s="4">
        <f t="shared" si="4"/>
        <v>0.47033038357794438</v>
      </c>
      <c r="N16" s="4">
        <f>($G$2*(D16-($R$10+$R$12)))/(D16-$R$12)</f>
        <v>3.5575830390703933</v>
      </c>
      <c r="O16" s="4"/>
      <c r="Q16" t="s">
        <v>29</v>
      </c>
    </row>
    <row r="17" spans="1:17" x14ac:dyDescent="0.45">
      <c r="A17">
        <v>596</v>
      </c>
      <c r="B17">
        <v>0.90839999999999999</v>
      </c>
      <c r="C17">
        <v>10.92</v>
      </c>
      <c r="D17">
        <f>C17*$R$10+18.02</f>
        <v>2379.1424000000002</v>
      </c>
      <c r="E17">
        <f t="shared" si="0"/>
        <v>2.3791424000000001</v>
      </c>
      <c r="F17">
        <f>$S$8*(1-B17)</f>
        <v>0.36311741853643076</v>
      </c>
      <c r="G17">
        <f>$S$9*(1-B17)</f>
        <v>0.36311741853643076</v>
      </c>
      <c r="H17">
        <f>$S$8*B17*18.02</f>
        <v>64.890858637913269</v>
      </c>
      <c r="I17">
        <f t="shared" si="1"/>
        <v>935.10914136208669</v>
      </c>
      <c r="J17">
        <f t="shared" si="2"/>
        <v>0.38831554785948441</v>
      </c>
      <c r="K17">
        <f t="shared" si="3"/>
        <v>0.38831554785948441</v>
      </c>
      <c r="L17">
        <f>((I17-J17*$R$8-K17*$R$9)/D17)/(I17/1000)</f>
        <v>0.37628934650074308</v>
      </c>
      <c r="M17" s="4">
        <f t="shared" si="4"/>
        <v>0.42031952353923835</v>
      </c>
      <c r="N17" s="4">
        <f>($G$2*(D17-($R$10+$R$12)))/(D17-$R$12)</f>
        <v>3.6011452803651323</v>
      </c>
      <c r="O17" s="4"/>
      <c r="Q17" t="s">
        <v>25</v>
      </c>
    </row>
    <row r="18" spans="1:17" x14ac:dyDescent="0.45">
      <c r="A18">
        <v>690</v>
      </c>
      <c r="B18">
        <v>0.9163</v>
      </c>
      <c r="C18">
        <v>11.94</v>
      </c>
      <c r="D18">
        <f>C18*$R$10+18.02</f>
        <v>2599.6867999999999</v>
      </c>
      <c r="E18">
        <f t="shared" si="0"/>
        <v>2.5996867999999997</v>
      </c>
      <c r="F18">
        <f>$S$8*(1-B18)</f>
        <v>0.33180052326964243</v>
      </c>
      <c r="G18">
        <f>$S$9*(1-B18)</f>
        <v>0.33180052326964243</v>
      </c>
      <c r="H18">
        <f>$S$8*B18*18.02</f>
        <v>65.455189090620792</v>
      </c>
      <c r="I18">
        <f t="shared" si="1"/>
        <v>934.54481090937918</v>
      </c>
      <c r="J18">
        <f t="shared" si="2"/>
        <v>0.35503971494612091</v>
      </c>
      <c r="K18">
        <f t="shared" si="3"/>
        <v>0.35503971494612091</v>
      </c>
      <c r="L18">
        <f>((I18-J18*$R$8-K18*$R$9)/D18)/(I18/1000)</f>
        <v>0.34779757634453895</v>
      </c>
      <c r="M18" s="4">
        <f t="shared" si="4"/>
        <v>0.38466172155815082</v>
      </c>
      <c r="N18" s="4">
        <f>($G$2*(D18-($R$10+$R$12)))/(D18-$R$12)</f>
        <v>3.6321569261779705</v>
      </c>
      <c r="O18" s="4"/>
      <c r="Q18" t="s">
        <v>27</v>
      </c>
    </row>
    <row r="19" spans="1:17" x14ac:dyDescent="0.45">
      <c r="A19">
        <v>793</v>
      </c>
      <c r="B19">
        <v>0.92200000000000004</v>
      </c>
      <c r="C19">
        <v>12.82</v>
      </c>
      <c r="D19">
        <f>C19*$R$10+18.02</f>
        <v>2789.9603999999999</v>
      </c>
      <c r="E19">
        <f t="shared" si="0"/>
        <v>2.7899604</v>
      </c>
      <c r="F19">
        <f>$S$8*(1-B19)</f>
        <v>0.30920478871006091</v>
      </c>
      <c r="G19">
        <f>$S$9*(1-B19)</f>
        <v>0.30920478871006091</v>
      </c>
      <c r="H19">
        <f>$S$8*B19*18.02</f>
        <v>65.862364227384447</v>
      </c>
      <c r="I19">
        <f t="shared" si="1"/>
        <v>934.13763577261557</v>
      </c>
      <c r="J19">
        <f t="shared" si="2"/>
        <v>0.33100560010551427</v>
      </c>
      <c r="K19">
        <f t="shared" si="3"/>
        <v>0.33100560010551427</v>
      </c>
      <c r="L19">
        <f>((I19-J19*$R$8-K19*$R$9)/D19)/(I19/1000)</f>
        <v>0.32638933100400014</v>
      </c>
      <c r="M19" s="4">
        <f t="shared" si="4"/>
        <v>0.35842802643363686</v>
      </c>
      <c r="N19" s="4">
        <f>($G$2*(D19-($R$10+$R$12)))/(D19-$R$12)</f>
        <v>3.654946800424939</v>
      </c>
      <c r="O19" s="4"/>
      <c r="Q19" t="s">
        <v>28</v>
      </c>
    </row>
    <row r="20" spans="1:17" x14ac:dyDescent="0.45">
      <c r="A20">
        <v>900</v>
      </c>
      <c r="B20">
        <v>0.92730000000000001</v>
      </c>
      <c r="C20">
        <v>13.77</v>
      </c>
      <c r="D20">
        <f>C20*$R$10+18.02</f>
        <v>2995.3694</v>
      </c>
      <c r="E20">
        <f t="shared" si="0"/>
        <v>2.9953694</v>
      </c>
      <c r="F20">
        <f>$S$8*(1-B20)</f>
        <v>0.28819471973360816</v>
      </c>
      <c r="G20">
        <f>$S$9*(1-B20)</f>
        <v>0.28819471973360816</v>
      </c>
      <c r="H20">
        <f>$S$8*B20*18.02</f>
        <v>66.240965670340131</v>
      </c>
      <c r="I20">
        <f t="shared" si="1"/>
        <v>933.75903432965993</v>
      </c>
      <c r="J20">
        <f t="shared" si="2"/>
        <v>0.30863928394599305</v>
      </c>
      <c r="K20">
        <f t="shared" si="3"/>
        <v>0.30863928394599305</v>
      </c>
      <c r="L20">
        <f>((I20-J20*$R$8-K20*$R$9)/D20)/(I20/1000)</f>
        <v>0.30601215522989994</v>
      </c>
      <c r="M20" s="4">
        <f t="shared" si="4"/>
        <v>0.33384863983721008</v>
      </c>
      <c r="N20" s="4">
        <f>($G$2*(D20-($R$10+$R$12)))/(D20-$R$12)</f>
        <v>3.6762798650238158</v>
      </c>
      <c r="O20" s="4"/>
      <c r="Q20" t="s">
        <v>35</v>
      </c>
    </row>
    <row r="21" spans="1:17" x14ac:dyDescent="0.45">
      <c r="A21">
        <v>1008</v>
      </c>
      <c r="B21">
        <v>0.93030000000000002</v>
      </c>
      <c r="C21">
        <v>14.33</v>
      </c>
      <c r="D21">
        <f>C21*$R$10+18.02</f>
        <v>3116.4526000000001</v>
      </c>
      <c r="E21">
        <f t="shared" si="0"/>
        <v>3.1164526000000001</v>
      </c>
      <c r="F21">
        <f>$S$8*(1-B21)</f>
        <v>0.27630222786014424</v>
      </c>
      <c r="G21">
        <f>$S$9*(1-B21)</f>
        <v>0.27630222786014424</v>
      </c>
      <c r="H21">
        <f>$S$8*B21*18.02</f>
        <v>66.455268373899941</v>
      </c>
      <c r="I21">
        <f t="shared" si="1"/>
        <v>933.54473162610009</v>
      </c>
      <c r="J21">
        <f t="shared" si="2"/>
        <v>0.29597106437402915</v>
      </c>
      <c r="K21">
        <f t="shared" si="3"/>
        <v>0.29597106437402915</v>
      </c>
      <c r="L21">
        <f>((I21-J21*$R$8-K21*$R$9)/D21)/(I21/1000)</f>
        <v>0.29521497553748094</v>
      </c>
      <c r="M21" s="4">
        <f t="shared" si="4"/>
        <v>0.32087765429193432</v>
      </c>
      <c r="N21" s="4">
        <f>($G$2*(D21-($R$10+$R$12)))/(D21-$R$12)</f>
        <v>3.6875300459007585</v>
      </c>
      <c r="O21" s="4"/>
      <c r="Q21" t="s">
        <v>22</v>
      </c>
    </row>
    <row r="22" spans="1:17" x14ac:dyDescent="0.45">
      <c r="A22">
        <v>1147</v>
      </c>
      <c r="B22">
        <v>0.93540000000000001</v>
      </c>
      <c r="C22">
        <v>15.478</v>
      </c>
      <c r="D22">
        <f>C22*$R$10+18.02</f>
        <v>3364.6731599999998</v>
      </c>
      <c r="E22">
        <f t="shared" si="0"/>
        <v>3.3646731599999997</v>
      </c>
      <c r="F22">
        <f>$S$8*(1-B22)</f>
        <v>0.25608499167525567</v>
      </c>
      <c r="G22">
        <f>$S$9*(1-B22)</f>
        <v>0.25608499167525567</v>
      </c>
      <c r="H22">
        <f>$S$8*B22*18.02</f>
        <v>66.819582969951639</v>
      </c>
      <c r="I22">
        <f t="shared" si="1"/>
        <v>933.18041703004837</v>
      </c>
      <c r="J22">
        <f t="shared" si="2"/>
        <v>0.27442173774957146</v>
      </c>
      <c r="K22">
        <f t="shared" si="3"/>
        <v>0.27442173774957146</v>
      </c>
      <c r="L22">
        <f>((I22-J22*$R$8-K22*$R$9)/D22)/(I22/1000)</f>
        <v>0.2751582358086192</v>
      </c>
      <c r="M22" s="4">
        <f t="shared" si="4"/>
        <v>0.29720568758006799</v>
      </c>
      <c r="N22" s="4">
        <f>($G$2*(D22-($R$10+$R$12)))/(D22-$R$12)</f>
        <v>3.7080479248828477</v>
      </c>
      <c r="O22" s="4"/>
      <c r="Q22" t="s">
        <v>23</v>
      </c>
    </row>
    <row r="23" spans="1:17" x14ac:dyDescent="0.45">
      <c r="A23">
        <v>1370</v>
      </c>
      <c r="B23">
        <v>0.9405</v>
      </c>
      <c r="C23">
        <v>16.809999999999999</v>
      </c>
      <c r="D23">
        <f>C23*$R$10+18.02</f>
        <v>3652.6781999999998</v>
      </c>
      <c r="E23">
        <f t="shared" si="0"/>
        <v>3.6526782</v>
      </c>
      <c r="F23">
        <f>$S$8*(1-B23)</f>
        <v>0.23586775549036709</v>
      </c>
      <c r="G23">
        <f>$S$9*(1-B23)</f>
        <v>0.23586775549036709</v>
      </c>
      <c r="H23">
        <f>$S$8*B23*18.02</f>
        <v>67.183897566003338</v>
      </c>
      <c r="I23">
        <f t="shared" si="1"/>
        <v>932.81610243399666</v>
      </c>
      <c r="J23">
        <f t="shared" si="2"/>
        <v>0.25285557879513171</v>
      </c>
      <c r="K23">
        <f t="shared" si="3"/>
        <v>0.25285557879513171</v>
      </c>
      <c r="L23">
        <f>((I23-J23*$R$8-K23*$R$9)/D23)/(I23/1000)</f>
        <v>0.25505139248224462</v>
      </c>
      <c r="M23" s="4">
        <f t="shared" si="4"/>
        <v>0.27377172180127995</v>
      </c>
      <c r="N23" s="4">
        <f>($G$2*(D23-($R$10+$R$12)))/(D23-$R$12)</f>
        <v>3.7283421875761262</v>
      </c>
      <c r="O23" s="4"/>
      <c r="Q23" t="s">
        <v>24</v>
      </c>
    </row>
    <row r="24" spans="1:17" x14ac:dyDescent="0.45">
      <c r="A24">
        <v>1606</v>
      </c>
      <c r="B24">
        <v>0.94469999999999998</v>
      </c>
      <c r="C24">
        <v>18.079999999999998</v>
      </c>
      <c r="D24">
        <f>C24*$R$10+18.02</f>
        <v>3927.2775999999994</v>
      </c>
      <c r="E24">
        <f t="shared" si="0"/>
        <v>3.9272775999999996</v>
      </c>
      <c r="F24">
        <f>$S$8*(1-B24)</f>
        <v>0.21921826686751772</v>
      </c>
      <c r="G24">
        <f>$S$9*(1-B24)</f>
        <v>0.21921826686751772</v>
      </c>
      <c r="H24">
        <f>$S$8*B24*18.02</f>
        <v>67.483921350987075</v>
      </c>
      <c r="I24">
        <f t="shared" si="1"/>
        <v>932.51607864901291</v>
      </c>
      <c r="J24">
        <f t="shared" si="2"/>
        <v>0.23508255984723742</v>
      </c>
      <c r="K24">
        <f t="shared" si="3"/>
        <v>0.23508255984723742</v>
      </c>
      <c r="L24">
        <f>((I24-J24*$R$8-K24*$R$9)/D24)/(I24/1000)</f>
        <v>0.23843655391503088</v>
      </c>
      <c r="M24" s="4">
        <f t="shared" si="4"/>
        <v>0.25462931370066638</v>
      </c>
      <c r="N24" s="4">
        <f>($G$2*(D24-($R$10+$R$12)))/(D24-$R$12)</f>
        <v>3.7449071017471089</v>
      </c>
      <c r="O24" s="4"/>
      <c r="Q24" t="s">
        <v>26</v>
      </c>
    </row>
    <row r="25" spans="1:17" x14ac:dyDescent="0.45">
      <c r="Q25" t="s">
        <v>31</v>
      </c>
    </row>
    <row r="26" spans="1:17" x14ac:dyDescent="0.45">
      <c r="Q26" t="s">
        <v>32</v>
      </c>
    </row>
    <row r="27" spans="1:17" x14ac:dyDescent="0.45">
      <c r="Q27" t="s">
        <v>36</v>
      </c>
    </row>
    <row r="28" spans="1:17" x14ac:dyDescent="0.45">
      <c r="Q28" t="s">
        <v>40</v>
      </c>
    </row>
    <row r="29" spans="1:17" x14ac:dyDescent="0.45">
      <c r="Q29" t="s">
        <v>41</v>
      </c>
    </row>
    <row r="30" spans="1:17" x14ac:dyDescent="0.45">
      <c r="Q30" t="s">
        <v>43</v>
      </c>
    </row>
  </sheetData>
  <phoneticPr fontId="1"/>
  <hyperlinks>
    <hyperlink ref="Q5" r:id="rId1" xr:uid="{D174AFD0-39EB-4DBF-AC0A-971AADEB5E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Ohno</dc:creator>
  <cp:lastModifiedBy>M. Ohno</cp:lastModifiedBy>
  <dcterms:created xsi:type="dcterms:W3CDTF">2026-02-28T11:54:17Z</dcterms:created>
  <dcterms:modified xsi:type="dcterms:W3CDTF">2026-03-21T11:47:52Z</dcterms:modified>
</cp:coreProperties>
</file>